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mitris/Documents/work/website/current/content/post/causal/"/>
    </mc:Choice>
  </mc:AlternateContent>
  <xr:revisionPtr revIDLastSave="0" documentId="13_ncr:1_{ADD66394-6624-5E46-9585-5B4715655831}" xr6:coauthVersionLast="47" xr6:coauthVersionMax="47" xr10:uidLastSave="{00000000-0000-0000-0000-000000000000}"/>
  <bookViews>
    <workbookView xWindow="7360" yWindow="760" windowWidth="17460" windowHeight="18880" xr2:uid="{B8C3A0B9-E39C-164C-A784-453520BF8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4" i="1" l="1"/>
  <c r="D43" i="1"/>
  <c r="D21" i="1"/>
  <c r="D20" i="1"/>
  <c r="D17" i="1"/>
  <c r="D16" i="1"/>
  <c r="D23" i="1"/>
  <c r="D22" i="1"/>
  <c r="D19" i="1"/>
  <c r="D18" i="1"/>
  <c r="D30" i="1" l="1"/>
  <c r="D28" i="1"/>
  <c r="D29" i="1"/>
  <c r="D31" i="1"/>
  <c r="D24" i="1"/>
  <c r="D35" i="1" l="1"/>
  <c r="D39" i="1" s="1"/>
  <c r="D36" i="1"/>
  <c r="D40" i="1" s="1"/>
</calcChain>
</file>

<file path=xl/sharedStrings.xml><?xml version="1.0" encoding="utf-8"?>
<sst xmlns="http://schemas.openxmlformats.org/spreadsheetml/2006/main" count="24" uniqueCount="16">
  <si>
    <t>E</t>
  </si>
  <si>
    <t>C</t>
  </si>
  <si>
    <t>H</t>
  </si>
  <si>
    <t>P(E=1)</t>
  </si>
  <si>
    <t>P(H=1|E,C)</t>
  </si>
  <si>
    <t>P(C=1|E)</t>
  </si>
  <si>
    <t>P(H,E,C)</t>
  </si>
  <si>
    <t>P(H,C)</t>
  </si>
  <si>
    <t>P(C)</t>
  </si>
  <si>
    <t>P(H=1|C)</t>
  </si>
  <si>
    <t>P(H=1|do(C))</t>
  </si>
  <si>
    <t>Σ_E P(H,E,C)</t>
  </si>
  <si>
    <t>Σ_H P(H,C)</t>
  </si>
  <si>
    <t>P(H,C) / P(C)</t>
  </si>
  <si>
    <t>Σ_E P(H|E,C) * P(E)</t>
  </si>
  <si>
    <t>P(H|E,C) * P(C|E) * P(E)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</si>
</sst>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D522-4BA2-3A43-8A59-CCD427EF54AA}">
  <dimension ref="A2:E44"/>
  <sheetViews>
    <sheetView tabSelected="1" workbookViewId="0">
      <selection activeCell="D4" sqref="D4"/>
    </sheetView>
  </sheetViews>
  <sheetFormatPr baseColWidth="10" defaultRowHeight="16" x14ac:dyDescent="0.2"/>
  <sheetData>
    <row r="2" spans="1:5" x14ac:dyDescent="0.2">
      <c r="D2" t="s">
        <v>3</v>
      </c>
    </row>
    <row r="3" spans="1:5" x14ac:dyDescent="0.2">
      <c r="D3">
        <v>0.1</v>
      </c>
    </row>
    <row r="5" spans="1:5" x14ac:dyDescent="0.2">
      <c r="C5" t="s">
        <v>0</v>
      </c>
      <c r="D5" t="s">
        <v>5</v>
      </c>
    </row>
    <row r="6" spans="1:5" x14ac:dyDescent="0.2">
      <c r="C6">
        <v>0</v>
      </c>
      <c r="D6">
        <v>0.01</v>
      </c>
    </row>
    <row r="7" spans="1:5" x14ac:dyDescent="0.2">
      <c r="C7">
        <v>1</v>
      </c>
      <c r="D7">
        <v>0.99</v>
      </c>
    </row>
    <row r="9" spans="1:5" x14ac:dyDescent="0.2">
      <c r="B9" t="s">
        <v>0</v>
      </c>
      <c r="C9" t="s">
        <v>1</v>
      </c>
      <c r="D9" t="s">
        <v>4</v>
      </c>
    </row>
    <row r="10" spans="1:5" x14ac:dyDescent="0.2">
      <c r="B10">
        <v>0</v>
      </c>
      <c r="C10">
        <v>0</v>
      </c>
      <c r="D10">
        <v>0.05</v>
      </c>
    </row>
    <row r="11" spans="1:5" x14ac:dyDescent="0.2">
      <c r="B11">
        <v>0</v>
      </c>
      <c r="C11">
        <v>1</v>
      </c>
      <c r="D11">
        <v>0.01</v>
      </c>
    </row>
    <row r="12" spans="1:5" x14ac:dyDescent="0.2">
      <c r="B12">
        <v>1</v>
      </c>
      <c r="C12">
        <v>0</v>
      </c>
      <c r="D12">
        <v>0.2</v>
      </c>
    </row>
    <row r="13" spans="1:5" x14ac:dyDescent="0.2">
      <c r="B13">
        <v>1</v>
      </c>
      <c r="C13">
        <v>1</v>
      </c>
      <c r="D13">
        <v>0.06</v>
      </c>
    </row>
    <row r="15" spans="1:5" x14ac:dyDescent="0.2">
      <c r="A15" t="s">
        <v>2</v>
      </c>
      <c r="B15" t="s">
        <v>0</v>
      </c>
      <c r="C15" t="s">
        <v>1</v>
      </c>
      <c r="D15" t="s">
        <v>6</v>
      </c>
      <c r="E15" t="s">
        <v>15</v>
      </c>
    </row>
    <row r="16" spans="1:5" x14ac:dyDescent="0.2">
      <c r="A16">
        <v>0</v>
      </c>
      <c r="B16">
        <v>0</v>
      </c>
      <c r="C16">
        <v>0</v>
      </c>
      <c r="D16">
        <f>(1-$D$10)*(1-$D$6)*(1-$D$3)</f>
        <v>0.84645000000000004</v>
      </c>
    </row>
    <row r="17" spans="1:5" x14ac:dyDescent="0.2">
      <c r="A17">
        <v>0</v>
      </c>
      <c r="B17">
        <v>0</v>
      </c>
      <c r="C17">
        <v>1</v>
      </c>
      <c r="D17">
        <f>(1-$D$11)*$D$6*(1-$D$3)</f>
        <v>8.9100000000000013E-3</v>
      </c>
    </row>
    <row r="18" spans="1:5" x14ac:dyDescent="0.2">
      <c r="A18">
        <v>0</v>
      </c>
      <c r="B18">
        <v>1</v>
      </c>
      <c r="C18">
        <v>0</v>
      </c>
      <c r="D18">
        <f>(1-$D$12)*(1-$D$7)*$D$3</f>
        <v>8.000000000000008E-4</v>
      </c>
    </row>
    <row r="19" spans="1:5" x14ac:dyDescent="0.2">
      <c r="A19">
        <v>0</v>
      </c>
      <c r="B19">
        <v>1</v>
      </c>
      <c r="C19">
        <v>1</v>
      </c>
      <c r="D19">
        <f>(1-$D$13)*$D$7*$D$3</f>
        <v>9.3060000000000004E-2</v>
      </c>
    </row>
    <row r="20" spans="1:5" x14ac:dyDescent="0.2">
      <c r="A20">
        <v>1</v>
      </c>
      <c r="B20">
        <v>0</v>
      </c>
      <c r="C20">
        <v>0</v>
      </c>
      <c r="D20">
        <f>$D$10*(1-$D$6)*(1-$D$3)</f>
        <v>4.4550000000000006E-2</v>
      </c>
    </row>
    <row r="21" spans="1:5" x14ac:dyDescent="0.2">
      <c r="A21">
        <v>1</v>
      </c>
      <c r="B21">
        <v>0</v>
      </c>
      <c r="C21">
        <v>1</v>
      </c>
      <c r="D21">
        <f>$D$11*$D$6*(1-$D$3)</f>
        <v>9.0000000000000006E-5</v>
      </c>
    </row>
    <row r="22" spans="1:5" x14ac:dyDescent="0.2">
      <c r="A22">
        <v>1</v>
      </c>
      <c r="B22">
        <v>1</v>
      </c>
      <c r="C22">
        <v>0</v>
      </c>
      <c r="D22">
        <f>$D$12*(1-$D$7)*$D$3</f>
        <v>2.000000000000002E-4</v>
      </c>
    </row>
    <row r="23" spans="1:5" x14ac:dyDescent="0.2">
      <c r="A23">
        <v>1</v>
      </c>
      <c r="B23">
        <v>1</v>
      </c>
      <c r="C23">
        <v>1</v>
      </c>
      <c r="D23">
        <f>$D$13*$D$7*$D$3</f>
        <v>5.94E-3</v>
      </c>
    </row>
    <row r="24" spans="1:5" x14ac:dyDescent="0.2">
      <c r="D24">
        <f>SUM(D16:D23)</f>
        <v>1</v>
      </c>
    </row>
    <row r="27" spans="1:5" x14ac:dyDescent="0.2">
      <c r="A27" t="s">
        <v>2</v>
      </c>
      <c r="C27" t="s">
        <v>1</v>
      </c>
      <c r="D27" t="s">
        <v>7</v>
      </c>
      <c r="E27" t="s">
        <v>11</v>
      </c>
    </row>
    <row r="28" spans="1:5" x14ac:dyDescent="0.2">
      <c r="A28">
        <v>0</v>
      </c>
      <c r="C28">
        <v>0</v>
      </c>
      <c r="D28">
        <f>D16+D18</f>
        <v>0.84725000000000006</v>
      </c>
    </row>
    <row r="29" spans="1:5" x14ac:dyDescent="0.2">
      <c r="A29">
        <v>0</v>
      </c>
      <c r="C29">
        <v>1</v>
      </c>
      <c r="D29">
        <f>D17+D19</f>
        <v>0.10197000000000001</v>
      </c>
    </row>
    <row r="30" spans="1:5" x14ac:dyDescent="0.2">
      <c r="A30">
        <v>1</v>
      </c>
      <c r="C30">
        <v>0</v>
      </c>
      <c r="D30">
        <f>D20+D22</f>
        <v>4.4750000000000005E-2</v>
      </c>
    </row>
    <row r="31" spans="1:5" x14ac:dyDescent="0.2">
      <c r="A31">
        <v>1</v>
      </c>
      <c r="C31">
        <v>1</v>
      </c>
      <c r="D31">
        <f>D21+D23</f>
        <v>6.0299999999999998E-3</v>
      </c>
    </row>
    <row r="34" spans="3:5" x14ac:dyDescent="0.2">
      <c r="C34" t="s">
        <v>1</v>
      </c>
      <c r="D34" t="s">
        <v>8</v>
      </c>
      <c r="E34" t="s">
        <v>12</v>
      </c>
    </row>
    <row r="35" spans="3:5" x14ac:dyDescent="0.2">
      <c r="C35">
        <v>0</v>
      </c>
      <c r="D35">
        <f>D28+D30</f>
        <v>0.89200000000000002</v>
      </c>
    </row>
    <row r="36" spans="3:5" x14ac:dyDescent="0.2">
      <c r="C36">
        <v>1</v>
      </c>
      <c r="D36">
        <f>D29+D31</f>
        <v>0.108</v>
      </c>
    </row>
    <row r="38" spans="3:5" x14ac:dyDescent="0.2">
      <c r="C38" t="s">
        <v>1</v>
      </c>
      <c r="D38" t="s">
        <v>9</v>
      </c>
      <c r="E38" t="s">
        <v>13</v>
      </c>
    </row>
    <row r="39" spans="3:5" x14ac:dyDescent="0.2">
      <c r="C39">
        <v>0</v>
      </c>
      <c r="D39">
        <f>D30/D35</f>
        <v>5.0168161434977585E-2</v>
      </c>
    </row>
    <row r="40" spans="3:5" x14ac:dyDescent="0.2">
      <c r="C40">
        <v>1</v>
      </c>
      <c r="D40">
        <f>D31/D36</f>
        <v>5.5833333333333332E-2</v>
      </c>
    </row>
    <row r="42" spans="3:5" x14ac:dyDescent="0.2">
      <c r="C42" t="s">
        <v>1</v>
      </c>
      <c r="D42" t="s">
        <v>10</v>
      </c>
      <c r="E42" t="s">
        <v>14</v>
      </c>
    </row>
    <row r="43" spans="3:5" x14ac:dyDescent="0.2">
      <c r="C43">
        <v>0</v>
      </c>
      <c r="D43">
        <f>D10*(1-D3)+D12*D3</f>
        <v>6.5000000000000002E-2</v>
      </c>
    </row>
    <row r="44" spans="3:5" x14ac:dyDescent="0.2">
      <c r="C44">
        <v>1</v>
      </c>
      <c r="D44">
        <f>D11*(1-D3)+D13*D3</f>
        <v>1.5000000000000001E-2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SACHARIDIS  Dimitris</dc:creator>
  <cp:lastModifiedBy>SACHARIDIS  Dimitris</cp:lastModifiedBy>
  <dcterms:created xsi:type="dcterms:W3CDTF">2022-05-24T20:18:42Z</dcterms:created>
  <dcterms:modified xsi:type="dcterms:W3CDTF">2022-06-02T17:00:48Z</dcterms:modified>
</cp:coreProperties>
</file>