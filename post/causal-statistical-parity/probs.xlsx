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mitris/Documents/work/website/current/content/post/causal/"/>
    </mc:Choice>
  </mc:AlternateContent>
  <xr:revisionPtr revIDLastSave="0" documentId="13_ncr:1_{621A1296-A15D-5A40-A1EF-29B808B8882B}" xr6:coauthVersionLast="47" xr6:coauthVersionMax="47" xr10:uidLastSave="{00000000-0000-0000-0000-000000000000}"/>
  <bookViews>
    <workbookView xWindow="560" yWindow="760" windowWidth="23340" windowHeight="18880" activeTab="1" xr2:uid="{B8C3A0B9-E39C-164C-A784-453520BF8C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17" i="2" l="1"/>
  <c r="E16" i="2"/>
  <c r="E15" i="2"/>
  <c r="E14" i="2"/>
  <c r="E9" i="2"/>
  <c r="E8" i="2"/>
  <c r="E10" i="2"/>
  <c r="E7" i="2"/>
  <c r="S38" i="1"/>
  <c r="S39" i="1"/>
  <c r="S40" i="1" s="1"/>
  <c r="R38" i="1"/>
  <c r="S37" i="1"/>
  <c r="S36" i="1"/>
  <c r="S35" i="1"/>
  <c r="R36" i="1"/>
  <c r="R37" i="1" s="1"/>
  <c r="R39" i="1"/>
  <c r="R35" i="1"/>
  <c r="P40" i="1"/>
  <c r="Q40" i="1" s="1"/>
  <c r="O40" i="1"/>
  <c r="P37" i="1"/>
  <c r="Q37" i="1" s="1"/>
  <c r="O37" i="1"/>
  <c r="P39" i="1"/>
  <c r="P38" i="1"/>
  <c r="P36" i="1"/>
  <c r="P35" i="1"/>
  <c r="O39" i="1"/>
  <c r="O38" i="1"/>
  <c r="O36" i="1"/>
  <c r="O35" i="1"/>
  <c r="E32" i="1"/>
  <c r="V28" i="1"/>
  <c r="W22" i="1"/>
  <c r="W20" i="1"/>
  <c r="X20" i="1" s="1"/>
  <c r="T23" i="1"/>
  <c r="S21" i="1"/>
  <c r="T21" i="1" s="1"/>
  <c r="K23" i="1"/>
  <c r="M23" i="1" s="1"/>
  <c r="N23" i="1" s="1"/>
  <c r="K22" i="1"/>
  <c r="M22" i="1" s="1"/>
  <c r="K21" i="1"/>
  <c r="M21" i="1" s="1"/>
  <c r="N21" i="1" s="1"/>
  <c r="K20" i="1"/>
  <c r="M20" i="1" s="1"/>
  <c r="E41" i="1"/>
  <c r="E40" i="1"/>
  <c r="E20" i="1"/>
  <c r="E19" i="1"/>
  <c r="E16" i="1"/>
  <c r="E15" i="1"/>
  <c r="E22" i="1"/>
  <c r="E21" i="1"/>
  <c r="E18" i="1"/>
  <c r="E17" i="1"/>
  <c r="T37" i="1" l="1"/>
  <c r="R40" i="1"/>
  <c r="T40" i="1" s="1"/>
  <c r="P23" i="1"/>
  <c r="Q23" i="1" s="1"/>
  <c r="P21" i="1"/>
  <c r="P22" i="1"/>
  <c r="Q22" i="1" s="1"/>
  <c r="Q21" i="1"/>
  <c r="Q26" i="1" s="1"/>
  <c r="P26" i="1"/>
  <c r="P20" i="1"/>
  <c r="V21" i="1"/>
  <c r="W21" i="1" s="1"/>
  <c r="S22" i="1"/>
  <c r="T22" i="1" s="1"/>
  <c r="V23" i="1"/>
  <c r="W23" i="1" s="1"/>
  <c r="W28" i="1"/>
  <c r="X28" i="1" s="1"/>
  <c r="N22" i="1"/>
  <c r="N20" i="1"/>
  <c r="N28" i="1" s="1"/>
  <c r="S20" i="1"/>
  <c r="T20" i="1" s="1"/>
  <c r="K29" i="1"/>
  <c r="K33" i="1" s="1"/>
  <c r="K28" i="1"/>
  <c r="K32" i="1" s="1"/>
  <c r="K26" i="1"/>
  <c r="K27" i="1"/>
  <c r="O21" i="1"/>
  <c r="N26" i="1"/>
  <c r="M26" i="1"/>
  <c r="M28" i="1"/>
  <c r="E28" i="1"/>
  <c r="E26" i="1"/>
  <c r="E27" i="1"/>
  <c r="E29" i="1"/>
  <c r="V26" i="1" l="1"/>
  <c r="O20" i="1"/>
  <c r="P28" i="1"/>
  <c r="Q20" i="1"/>
  <c r="Q28" i="1" s="1"/>
  <c r="O28" i="1"/>
  <c r="R26" i="1"/>
  <c r="O26" i="1"/>
  <c r="X21" i="1"/>
  <c r="W26" i="1"/>
  <c r="S28" i="1"/>
  <c r="T26" i="1"/>
  <c r="S26" i="1"/>
  <c r="U21" i="1"/>
  <c r="E36" i="1"/>
  <c r="E33" i="1"/>
  <c r="E37" i="1" s="1"/>
  <c r="X26" i="1" l="1"/>
  <c r="R28" i="1"/>
  <c r="U26" i="1"/>
  <c r="U20" i="1"/>
  <c r="T28" i="1"/>
  <c r="U28" i="1" s="1"/>
</calcChain>
</file>

<file path=xl/sharedStrings.xml><?xml version="1.0" encoding="utf-8"?>
<sst xmlns="http://schemas.openxmlformats.org/spreadsheetml/2006/main" count="89" uniqueCount="44">
  <si>
    <t>E</t>
  </si>
  <si>
    <t>C</t>
  </si>
  <si>
    <t>H</t>
  </si>
  <si>
    <t>P(E=1)</t>
  </si>
  <si>
    <t>P(H=1|E,C)</t>
  </si>
  <si>
    <t>P(C=1|E)</t>
  </si>
  <si>
    <t>P(H,E,C)</t>
  </si>
  <si>
    <t>P(H,C)</t>
  </si>
  <si>
    <t>P(C)</t>
  </si>
  <si>
    <t>P(H=1|C)</t>
  </si>
  <si>
    <t>P(H=1|do(C))</t>
  </si>
  <si>
    <t>Σ_E P(H,E,C)</t>
  </si>
  <si>
    <t>Σ_H P(H,C)</t>
  </si>
  <si>
    <t>P(H,C) / P(C)</t>
  </si>
  <si>
    <t>Σ_E P(H|E,C) * P(E)</t>
  </si>
  <si>
    <t>P(H|E,C) * P(C|E) * P(E)</t>
  </si>
  <si>
    <t>original values</t>
  </si>
  <si>
    <t>P(E,C)</t>
  </si>
  <si>
    <t>P(H,E)</t>
  </si>
  <si>
    <t>P(H=1|E)</t>
  </si>
  <si>
    <t>people</t>
  </si>
  <si>
    <t>hired</t>
  </si>
  <si>
    <t>out of</t>
  </si>
  <si>
    <t>GIVEN</t>
  </si>
  <si>
    <t>DERIVED</t>
  </si>
  <si>
    <t>convicts hired</t>
  </si>
  <si>
    <t>convicts</t>
  </si>
  <si>
    <t>non-convicts hired</t>
  </si>
  <si>
    <t>non-convicts</t>
  </si>
  <si>
    <t>do(C=0)</t>
  </si>
  <si>
    <t>do(C=1)</t>
  </si>
  <si>
    <t>rct</t>
  </si>
  <si>
    <t>candidates</t>
  </si>
  <si>
    <t>observed</t>
  </si>
  <si>
    <t>C=0</t>
  </si>
  <si>
    <t>C=1</t>
  </si>
  <si>
    <t>E=0</t>
  </si>
  <si>
    <t>E=1</t>
  </si>
  <si>
    <t>after intervention</t>
  </si>
  <si>
    <t>world 0</t>
  </si>
  <si>
    <t>world 1</t>
  </si>
  <si>
    <t>p(E,C)</t>
  </si>
  <si>
    <t>p(H=1|E,C)</t>
  </si>
  <si>
    <t>p(H=1, E,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</si>
</sst>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  <xf numFmtId="164" fontId="0" fillId="3" borderId="1" xfId="0" applyNumberFormat="1" applyFill="1" applyBorder="1"/>
    <xf numFmtId="164" fontId="1" fillId="3" borderId="1" xfId="0" applyNumberFormat="1" applyFont="1" applyFill="1" applyBorder="1"/>
    <xf numFmtId="0" fontId="2" fillId="3" borderId="1" xfId="0" applyFont="1" applyFill="1" applyBorder="1"/>
    <xf numFmtId="0" fontId="0" fillId="0" borderId="0" xfId="0" applyFill="1" applyBorder="1"/>
    <xf numFmtId="0" fontId="3" fillId="0" borderId="0" xfId="0" applyFont="1" applyFill="1" applyBorder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D522-4BA2-3A43-8A59-CCD427EF54AA}">
  <dimension ref="A1:X41"/>
  <sheetViews>
    <sheetView topLeftCell="A4" workbookViewId="0">
      <selection activeCell="E8" sqref="E8:E12"/>
    </sheetView>
  </sheetViews>
  <sheetFormatPr baseColWidth="10" defaultRowHeight="16" x14ac:dyDescent="0.2"/>
  <cols>
    <col min="5" max="5" width="12" customWidth="1"/>
  </cols>
  <sheetData>
    <row r="1" spans="1:11" x14ac:dyDescent="0.2">
      <c r="A1" s="11" t="s">
        <v>23</v>
      </c>
      <c r="B1" s="2"/>
      <c r="C1" s="2"/>
      <c r="D1" s="2"/>
      <c r="E1" s="3" t="s">
        <v>3</v>
      </c>
      <c r="F1" s="9"/>
      <c r="G1" s="10" t="s">
        <v>16</v>
      </c>
    </row>
    <row r="2" spans="1:11" x14ac:dyDescent="0.2">
      <c r="A2" s="11"/>
      <c r="B2" s="2"/>
      <c r="C2" s="2"/>
      <c r="D2" s="2"/>
      <c r="E2" s="3">
        <v>0.8</v>
      </c>
      <c r="F2" s="9"/>
      <c r="G2" s="10">
        <v>0.5</v>
      </c>
    </row>
    <row r="3" spans="1:11" x14ac:dyDescent="0.2">
      <c r="A3" s="11"/>
      <c r="B3" s="2"/>
      <c r="C3" s="2"/>
      <c r="D3" s="2"/>
      <c r="E3" s="2"/>
      <c r="F3" s="9"/>
      <c r="G3" s="9"/>
    </row>
    <row r="4" spans="1:11" x14ac:dyDescent="0.2">
      <c r="A4" s="11"/>
      <c r="B4" s="2"/>
      <c r="C4" s="2"/>
      <c r="D4" s="3" t="s">
        <v>0</v>
      </c>
      <c r="E4" s="3" t="s">
        <v>5</v>
      </c>
      <c r="F4" s="9"/>
      <c r="G4" s="9"/>
    </row>
    <row r="5" spans="1:11" x14ac:dyDescent="0.2">
      <c r="A5" s="11"/>
      <c r="B5" s="2"/>
      <c r="C5" s="2"/>
      <c r="D5" s="3">
        <v>0</v>
      </c>
      <c r="E5" s="3">
        <v>0.85</v>
      </c>
      <c r="F5" s="9"/>
      <c r="G5" s="10">
        <v>0.01</v>
      </c>
    </row>
    <row r="6" spans="1:11" x14ac:dyDescent="0.2">
      <c r="A6" s="11"/>
      <c r="B6" s="2"/>
      <c r="C6" s="2"/>
      <c r="D6" s="3">
        <v>1</v>
      </c>
      <c r="E6" s="3">
        <v>0.1</v>
      </c>
      <c r="F6" s="9"/>
      <c r="G6" s="10">
        <v>0.99</v>
      </c>
    </row>
    <row r="7" spans="1:11" x14ac:dyDescent="0.2">
      <c r="A7" s="11"/>
      <c r="B7" s="2"/>
      <c r="C7" s="2"/>
      <c r="D7" s="2"/>
      <c r="E7" s="2"/>
      <c r="F7" s="9"/>
      <c r="G7" s="9"/>
    </row>
    <row r="8" spans="1:11" x14ac:dyDescent="0.2">
      <c r="A8" s="11"/>
      <c r="B8" s="2"/>
      <c r="C8" s="3" t="s">
        <v>0</v>
      </c>
      <c r="D8" s="3" t="s">
        <v>1</v>
      </c>
      <c r="E8" s="3" t="s">
        <v>4</v>
      </c>
      <c r="F8" s="9"/>
      <c r="G8" s="9"/>
    </row>
    <row r="9" spans="1:11" x14ac:dyDescent="0.2">
      <c r="A9" s="11"/>
      <c r="B9" s="2"/>
      <c r="C9" s="3">
        <v>0</v>
      </c>
      <c r="D9" s="3">
        <v>0</v>
      </c>
      <c r="E9" s="3">
        <v>0.1</v>
      </c>
      <c r="F9" s="9"/>
      <c r="G9" s="10">
        <v>0.05</v>
      </c>
    </row>
    <row r="10" spans="1:11" x14ac:dyDescent="0.2">
      <c r="A10" s="11"/>
      <c r="B10" s="2"/>
      <c r="C10" s="3">
        <v>0</v>
      </c>
      <c r="D10" s="3">
        <v>1</v>
      </c>
      <c r="E10" s="3">
        <v>0.4</v>
      </c>
      <c r="F10" s="9"/>
      <c r="G10" s="10">
        <v>0.01</v>
      </c>
    </row>
    <row r="11" spans="1:11" x14ac:dyDescent="0.2">
      <c r="A11" s="11"/>
      <c r="B11" s="2"/>
      <c r="C11" s="3">
        <v>1</v>
      </c>
      <c r="D11" s="3">
        <v>0</v>
      </c>
      <c r="E11" s="3">
        <v>0.3</v>
      </c>
      <c r="F11" s="9"/>
      <c r="G11" s="10">
        <v>0.2</v>
      </c>
    </row>
    <row r="12" spans="1:11" x14ac:dyDescent="0.2">
      <c r="A12" s="11"/>
      <c r="B12" s="2"/>
      <c r="C12" s="3">
        <v>1</v>
      </c>
      <c r="D12" s="3">
        <v>1</v>
      </c>
      <c r="E12" s="3">
        <v>0.05</v>
      </c>
      <c r="F12" s="9"/>
      <c r="G12" s="10">
        <v>0.06</v>
      </c>
    </row>
    <row r="14" spans="1:11" x14ac:dyDescent="0.2">
      <c r="A14" s="12" t="s">
        <v>24</v>
      </c>
      <c r="B14" s="5" t="s">
        <v>2</v>
      </c>
      <c r="C14" s="5" t="s">
        <v>0</v>
      </c>
      <c r="D14" s="5" t="s">
        <v>1</v>
      </c>
      <c r="E14" s="5" t="s">
        <v>6</v>
      </c>
      <c r="F14" s="4" t="s">
        <v>15</v>
      </c>
      <c r="G14" s="4"/>
      <c r="H14" s="4"/>
      <c r="I14" s="4"/>
      <c r="J14" s="4"/>
      <c r="K14" s="4"/>
    </row>
    <row r="15" spans="1:11" x14ac:dyDescent="0.2">
      <c r="A15" s="12"/>
      <c r="B15" s="5">
        <v>0</v>
      </c>
      <c r="C15" s="5">
        <v>0</v>
      </c>
      <c r="D15" s="5">
        <v>0</v>
      </c>
      <c r="E15" s="6">
        <f>(1-$E$9)*(1-$E$5)*(1-$E$2)</f>
        <v>2.7E-2</v>
      </c>
      <c r="F15" s="4"/>
      <c r="G15" s="4"/>
      <c r="H15" s="4"/>
      <c r="I15" s="4"/>
      <c r="J15" s="4"/>
      <c r="K15" s="4"/>
    </row>
    <row r="16" spans="1:11" x14ac:dyDescent="0.2">
      <c r="A16" s="12"/>
      <c r="B16" s="5">
        <v>0</v>
      </c>
      <c r="C16" s="5">
        <v>0</v>
      </c>
      <c r="D16" s="5">
        <v>1</v>
      </c>
      <c r="E16" s="6">
        <f>(1-$E$10)*$E$5*(1-$E$2)</f>
        <v>0.10199999999999998</v>
      </c>
      <c r="F16" s="4"/>
      <c r="G16" s="4"/>
      <c r="H16" s="4"/>
      <c r="I16" s="4"/>
      <c r="J16" s="4"/>
      <c r="K16" s="4"/>
    </row>
    <row r="17" spans="1:24" x14ac:dyDescent="0.2">
      <c r="A17" s="12"/>
      <c r="B17" s="5">
        <v>0</v>
      </c>
      <c r="C17" s="5">
        <v>1</v>
      </c>
      <c r="D17" s="5">
        <v>0</v>
      </c>
      <c r="E17" s="6">
        <f>(1-$E$11)*(1-$E$6)*$E$2</f>
        <v>0.504</v>
      </c>
      <c r="F17" s="4"/>
      <c r="G17" s="4"/>
      <c r="H17" s="4"/>
      <c r="I17" s="4"/>
      <c r="J17" s="4"/>
      <c r="K17" s="4"/>
      <c r="M17" t="s">
        <v>22</v>
      </c>
      <c r="P17" t="s">
        <v>31</v>
      </c>
      <c r="S17" t="s">
        <v>29</v>
      </c>
      <c r="V17" t="s">
        <v>30</v>
      </c>
    </row>
    <row r="18" spans="1:24" x14ac:dyDescent="0.2">
      <c r="A18" s="12"/>
      <c r="B18" s="5">
        <v>0</v>
      </c>
      <c r="C18" s="5">
        <v>1</v>
      </c>
      <c r="D18" s="5">
        <v>1</v>
      </c>
      <c r="E18" s="6">
        <f>(1-$E$12)*$E$6*$E$2</f>
        <v>7.6000000000000012E-2</v>
      </c>
      <c r="F18" s="4"/>
      <c r="G18" s="4"/>
      <c r="H18" s="4"/>
      <c r="I18" s="4"/>
      <c r="J18" s="4"/>
      <c r="K18" s="4"/>
      <c r="M18">
        <v>1000</v>
      </c>
    </row>
    <row r="19" spans="1:24" x14ac:dyDescent="0.2">
      <c r="A19" s="12"/>
      <c r="B19" s="5">
        <v>1</v>
      </c>
      <c r="C19" s="5">
        <v>0</v>
      </c>
      <c r="D19" s="5">
        <v>0</v>
      </c>
      <c r="E19" s="6">
        <f>$E$9*(1-$E$5)*(1-$E$2)</f>
        <v>3.0000000000000001E-3</v>
      </c>
      <c r="F19" s="4"/>
      <c r="G19" s="4"/>
      <c r="H19" s="4"/>
      <c r="I19" s="5" t="s">
        <v>0</v>
      </c>
      <c r="J19" s="5" t="s">
        <v>1</v>
      </c>
      <c r="K19" s="5" t="s">
        <v>17</v>
      </c>
      <c r="M19" t="s">
        <v>20</v>
      </c>
      <c r="N19" t="s">
        <v>21</v>
      </c>
      <c r="P19" t="s">
        <v>20</v>
      </c>
      <c r="Q19" t="s">
        <v>21</v>
      </c>
      <c r="S19" t="s">
        <v>20</v>
      </c>
      <c r="T19" t="s">
        <v>21</v>
      </c>
      <c r="V19" t="s">
        <v>20</v>
      </c>
      <c r="W19" t="s">
        <v>21</v>
      </c>
    </row>
    <row r="20" spans="1:24" x14ac:dyDescent="0.2">
      <c r="A20" s="12"/>
      <c r="B20" s="5">
        <v>1</v>
      </c>
      <c r="C20" s="5">
        <v>0</v>
      </c>
      <c r="D20" s="5">
        <v>1</v>
      </c>
      <c r="E20" s="6">
        <f>$E$10*$E$5*(1-$E$2)</f>
        <v>6.7999999999999991E-2</v>
      </c>
      <c r="F20" s="4"/>
      <c r="G20" s="4"/>
      <c r="H20" s="4"/>
      <c r="I20" s="5">
        <v>0</v>
      </c>
      <c r="J20" s="5">
        <v>0</v>
      </c>
      <c r="K20" s="5">
        <f>(1-E2)*(1-E5)</f>
        <v>0.03</v>
      </c>
      <c r="M20">
        <f>$M$18*K20</f>
        <v>30</v>
      </c>
      <c r="N20">
        <f>$E9*M20</f>
        <v>3</v>
      </c>
      <c r="O20" s="1">
        <f>(N20+N22)/(M20+M22)</f>
        <v>0.29199999999999998</v>
      </c>
      <c r="P20">
        <f>(M20+M21)/2</f>
        <v>99.999999999999972</v>
      </c>
      <c r="Q20">
        <f>$E9*P20</f>
        <v>9.9999999999999982</v>
      </c>
      <c r="R20" s="1"/>
      <c r="S20">
        <f>(M20+M21)</f>
        <v>199.99999999999994</v>
      </c>
      <c r="T20">
        <f>$E9*S20</f>
        <v>19.999999999999996</v>
      </c>
      <c r="U20">
        <f>(T20+T22)/(S20+S22)</f>
        <v>0.26</v>
      </c>
      <c r="V20">
        <v>0</v>
      </c>
      <c r="W20">
        <f>$E9*V20</f>
        <v>0</v>
      </c>
      <c r="X20" t="e">
        <f>(W20+W22)/(V20+V22)</f>
        <v>#DIV/0!</v>
      </c>
    </row>
    <row r="21" spans="1:24" x14ac:dyDescent="0.2">
      <c r="A21" s="12"/>
      <c r="B21" s="5">
        <v>1</v>
      </c>
      <c r="C21" s="5">
        <v>1</v>
      </c>
      <c r="D21" s="5">
        <v>0</v>
      </c>
      <c r="E21" s="6">
        <f>$E$11*(1-$E$6)*$E$2</f>
        <v>0.21600000000000003</v>
      </c>
      <c r="F21" s="4"/>
      <c r="G21" s="4"/>
      <c r="H21" s="4"/>
      <c r="I21" s="5">
        <v>0</v>
      </c>
      <c r="J21" s="5">
        <v>1</v>
      </c>
      <c r="K21" s="5">
        <f>(1-E2)*E5</f>
        <v>0.16999999999999996</v>
      </c>
      <c r="M21">
        <f>$M$18*K21</f>
        <v>169.99999999999994</v>
      </c>
      <c r="N21">
        <f>$E10*M21</f>
        <v>67.999999999999986</v>
      </c>
      <c r="O21" s="1">
        <f>(N21+N23)/(M21+M23)</f>
        <v>0.28800000000000003</v>
      </c>
      <c r="P21">
        <f>(M20+M21)/2</f>
        <v>99.999999999999972</v>
      </c>
      <c r="Q21">
        <f>$E10*P21</f>
        <v>39.999999999999993</v>
      </c>
      <c r="R21" s="1"/>
      <c r="S21">
        <f>0</f>
        <v>0</v>
      </c>
      <c r="T21">
        <f>$E10*S21</f>
        <v>0</v>
      </c>
      <c r="U21" t="e">
        <f>(T21+T23)/(S21+S23)</f>
        <v>#DIV/0!</v>
      </c>
      <c r="V21">
        <f>(M20+M21)</f>
        <v>199.99999999999994</v>
      </c>
      <c r="W21">
        <f>$E10*V21</f>
        <v>79.999999999999986</v>
      </c>
      <c r="X21">
        <f>(W21+W23)/(V21+V23)</f>
        <v>0.12</v>
      </c>
    </row>
    <row r="22" spans="1:24" x14ac:dyDescent="0.2">
      <c r="A22" s="12"/>
      <c r="B22" s="5">
        <v>1</v>
      </c>
      <c r="C22" s="5">
        <v>1</v>
      </c>
      <c r="D22" s="5">
        <v>1</v>
      </c>
      <c r="E22" s="6">
        <f>$E$12*$E$6*$E$2</f>
        <v>4.000000000000001E-3</v>
      </c>
      <c r="F22" s="4"/>
      <c r="G22" s="4"/>
      <c r="H22" s="4"/>
      <c r="I22" s="5">
        <v>1</v>
      </c>
      <c r="J22" s="5">
        <v>0</v>
      </c>
      <c r="K22" s="5">
        <f>E2*(1-E6)</f>
        <v>0.72000000000000008</v>
      </c>
      <c r="M22">
        <f>$M$18*K22</f>
        <v>720.00000000000011</v>
      </c>
      <c r="N22">
        <f>$E11*M22</f>
        <v>216.00000000000003</v>
      </c>
      <c r="P22">
        <f>(M22+M23)/2</f>
        <v>400.00000000000006</v>
      </c>
      <c r="Q22">
        <f>$E11*P22</f>
        <v>120.00000000000001</v>
      </c>
      <c r="S22">
        <f>M22+M23</f>
        <v>800.00000000000011</v>
      </c>
      <c r="T22">
        <f>$E11*S22</f>
        <v>240.00000000000003</v>
      </c>
      <c r="V22">
        <v>0</v>
      </c>
      <c r="W22">
        <f>$E11*V22</f>
        <v>0</v>
      </c>
    </row>
    <row r="23" spans="1:24" x14ac:dyDescent="0.2">
      <c r="A23" s="12"/>
      <c r="B23" s="4"/>
      <c r="C23" s="4"/>
      <c r="D23" s="4"/>
      <c r="E23" s="4"/>
      <c r="F23" s="4"/>
      <c r="G23" s="4"/>
      <c r="H23" s="4"/>
      <c r="I23" s="5">
        <v>1</v>
      </c>
      <c r="J23" s="5">
        <v>1</v>
      </c>
      <c r="K23" s="5">
        <f>E2*E6</f>
        <v>8.0000000000000016E-2</v>
      </c>
      <c r="M23">
        <f>$M$18*K23</f>
        <v>80.000000000000014</v>
      </c>
      <c r="N23">
        <f>$E12*M23</f>
        <v>4.0000000000000009</v>
      </c>
      <c r="P23">
        <f>(M22+M23)/2</f>
        <v>400.00000000000006</v>
      </c>
      <c r="Q23">
        <f>$E12*P23</f>
        <v>20.000000000000004</v>
      </c>
      <c r="S23">
        <v>0</v>
      </c>
      <c r="T23">
        <f>$E12*S23</f>
        <v>0</v>
      </c>
      <c r="V23">
        <f>(M22+M23)</f>
        <v>800.00000000000011</v>
      </c>
      <c r="W23">
        <f>$E12*V23</f>
        <v>40.000000000000007</v>
      </c>
    </row>
    <row r="24" spans="1:24" x14ac:dyDescent="0.2">
      <c r="A24" s="12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24" x14ac:dyDescent="0.2">
      <c r="A25" s="12"/>
      <c r="B25" s="5" t="s">
        <v>2</v>
      </c>
      <c r="C25" s="5"/>
      <c r="D25" s="5" t="s">
        <v>1</v>
      </c>
      <c r="E25" s="5" t="s">
        <v>7</v>
      </c>
      <c r="F25" s="4" t="s">
        <v>11</v>
      </c>
      <c r="G25" s="4"/>
      <c r="H25" s="8" t="s">
        <v>2</v>
      </c>
      <c r="I25" s="5" t="s">
        <v>0</v>
      </c>
      <c r="J25" s="5"/>
      <c r="K25" s="5" t="s">
        <v>18</v>
      </c>
      <c r="M25" t="s">
        <v>26</v>
      </c>
      <c r="N25" t="s">
        <v>25</v>
      </c>
      <c r="P25" t="s">
        <v>26</v>
      </c>
      <c r="Q25" t="s">
        <v>25</v>
      </c>
      <c r="S25" t="s">
        <v>26</v>
      </c>
      <c r="T25" t="s">
        <v>25</v>
      </c>
      <c r="V25" t="s">
        <v>26</v>
      </c>
      <c r="W25" t="s">
        <v>25</v>
      </c>
    </row>
    <row r="26" spans="1:24" x14ac:dyDescent="0.2">
      <c r="A26" s="12"/>
      <c r="B26" s="5">
        <v>0</v>
      </c>
      <c r="C26" s="5"/>
      <c r="D26" s="5">
        <v>0</v>
      </c>
      <c r="E26" s="5">
        <f>E15+E17</f>
        <v>0.53100000000000003</v>
      </c>
      <c r="F26" s="4"/>
      <c r="G26" s="4"/>
      <c r="H26" s="8">
        <v>0</v>
      </c>
      <c r="I26" s="5">
        <v>0</v>
      </c>
      <c r="J26" s="5"/>
      <c r="K26" s="6">
        <f>E15+E16</f>
        <v>0.12899999999999998</v>
      </c>
      <c r="M26">
        <f>M21+M23</f>
        <v>249.99999999999994</v>
      </c>
      <c r="N26">
        <f>N21+N23</f>
        <v>71.999999999999986</v>
      </c>
      <c r="O26">
        <f>N26/M26</f>
        <v>0.28800000000000003</v>
      </c>
      <c r="P26">
        <f>P21+P23</f>
        <v>500</v>
      </c>
      <c r="Q26">
        <f>Q21+Q23</f>
        <v>60</v>
      </c>
      <c r="R26">
        <f>Q26/P26</f>
        <v>0.12</v>
      </c>
      <c r="S26">
        <f>S21+S23</f>
        <v>0</v>
      </c>
      <c r="T26">
        <f>T21+T23</f>
        <v>0</v>
      </c>
      <c r="U26" t="e">
        <f>T26/S26</f>
        <v>#DIV/0!</v>
      </c>
      <c r="V26">
        <f>V21+V23</f>
        <v>1000</v>
      </c>
      <c r="W26">
        <f>W21+W23</f>
        <v>120</v>
      </c>
      <c r="X26">
        <f>W26/V26</f>
        <v>0.12</v>
      </c>
    </row>
    <row r="27" spans="1:24" x14ac:dyDescent="0.2">
      <c r="A27" s="12"/>
      <c r="B27" s="5">
        <v>0</v>
      </c>
      <c r="C27" s="5"/>
      <c r="D27" s="5">
        <v>1</v>
      </c>
      <c r="E27" s="5">
        <f>E16+E18</f>
        <v>0.17799999999999999</v>
      </c>
      <c r="F27" s="4"/>
      <c r="G27" s="4"/>
      <c r="H27" s="5">
        <v>0</v>
      </c>
      <c r="I27" s="5">
        <v>1</v>
      </c>
      <c r="J27" s="5"/>
      <c r="K27" s="6">
        <f>E17+E18</f>
        <v>0.58000000000000007</v>
      </c>
      <c r="M27" t="s">
        <v>28</v>
      </c>
      <c r="N27" t="s">
        <v>27</v>
      </c>
      <c r="P27" t="s">
        <v>28</v>
      </c>
      <c r="Q27" t="s">
        <v>27</v>
      </c>
      <c r="S27" t="s">
        <v>28</v>
      </c>
      <c r="T27" t="s">
        <v>27</v>
      </c>
      <c r="V27" t="s">
        <v>28</v>
      </c>
      <c r="W27" t="s">
        <v>27</v>
      </c>
    </row>
    <row r="28" spans="1:24" x14ac:dyDescent="0.2">
      <c r="A28" s="12"/>
      <c r="B28" s="5">
        <v>1</v>
      </c>
      <c r="C28" s="5"/>
      <c r="D28" s="5">
        <v>0</v>
      </c>
      <c r="E28" s="5">
        <f>E19+E21</f>
        <v>0.21900000000000003</v>
      </c>
      <c r="F28" s="4"/>
      <c r="G28" s="4"/>
      <c r="H28" s="5">
        <v>1</v>
      </c>
      <c r="I28" s="5">
        <v>0</v>
      </c>
      <c r="J28" s="5"/>
      <c r="K28" s="6">
        <f>E19+E20</f>
        <v>7.0999999999999994E-2</v>
      </c>
      <c r="M28">
        <f>M20+M22</f>
        <v>750.00000000000011</v>
      </c>
      <c r="N28">
        <f>N20+N22</f>
        <v>219.00000000000003</v>
      </c>
      <c r="O28">
        <f>N28/M28</f>
        <v>0.29199999999999998</v>
      </c>
      <c r="P28">
        <f>P20+P22</f>
        <v>500</v>
      </c>
      <c r="Q28">
        <f>Q20+Q22</f>
        <v>130</v>
      </c>
      <c r="R28">
        <f>Q28/P28</f>
        <v>0.26</v>
      </c>
      <c r="S28">
        <f>S20+S22</f>
        <v>1000</v>
      </c>
      <c r="T28">
        <f>T20+T22</f>
        <v>260</v>
      </c>
      <c r="U28">
        <f>T28/S28</f>
        <v>0.26</v>
      </c>
      <c r="V28">
        <f>V20+V22</f>
        <v>0</v>
      </c>
      <c r="W28">
        <f>W20+W22</f>
        <v>0</v>
      </c>
      <c r="X28" t="e">
        <f>W28/V28</f>
        <v>#DIV/0!</v>
      </c>
    </row>
    <row r="29" spans="1:24" x14ac:dyDescent="0.2">
      <c r="A29" s="12"/>
      <c r="B29" s="5">
        <v>1</v>
      </c>
      <c r="C29" s="5"/>
      <c r="D29" s="5">
        <v>1</v>
      </c>
      <c r="E29" s="5">
        <f>E20+E22</f>
        <v>7.1999999999999995E-2</v>
      </c>
      <c r="F29" s="4"/>
      <c r="G29" s="4"/>
      <c r="H29" s="5">
        <v>1</v>
      </c>
      <c r="I29" s="5">
        <v>1</v>
      </c>
      <c r="J29" s="5"/>
      <c r="K29" s="6">
        <f>E21+E22</f>
        <v>0.22000000000000003</v>
      </c>
    </row>
    <row r="30" spans="1:24" x14ac:dyDescent="0.2">
      <c r="A30" s="12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24" x14ac:dyDescent="0.2">
      <c r="A31" s="12"/>
      <c r="B31" s="4"/>
      <c r="C31" s="4"/>
      <c r="D31" s="5" t="s">
        <v>1</v>
      </c>
      <c r="E31" s="5" t="s">
        <v>8</v>
      </c>
      <c r="F31" s="4" t="s">
        <v>12</v>
      </c>
      <c r="G31" s="4"/>
      <c r="H31" s="4"/>
      <c r="I31" s="4"/>
      <c r="J31" s="5" t="s">
        <v>0</v>
      </c>
      <c r="K31" s="5" t="s">
        <v>19</v>
      </c>
    </row>
    <row r="32" spans="1:24" x14ac:dyDescent="0.2">
      <c r="A32" s="12"/>
      <c r="B32" s="4"/>
      <c r="C32" s="4"/>
      <c r="D32" s="5">
        <v>0</v>
      </c>
      <c r="E32" s="5">
        <f>E26+E28</f>
        <v>0.75</v>
      </c>
      <c r="F32" s="4"/>
      <c r="G32" s="4"/>
      <c r="H32" s="4"/>
      <c r="I32" s="4"/>
      <c r="J32" s="5">
        <v>0</v>
      </c>
      <c r="K32" s="5">
        <f>K28/(1-E2)</f>
        <v>0.35500000000000004</v>
      </c>
    </row>
    <row r="33" spans="1:21" x14ac:dyDescent="0.2">
      <c r="A33" s="12"/>
      <c r="B33" s="4"/>
      <c r="C33" s="4"/>
      <c r="D33" s="5">
        <v>1</v>
      </c>
      <c r="E33" s="5">
        <f>E27+E29</f>
        <v>0.25</v>
      </c>
      <c r="F33" s="4"/>
      <c r="G33" s="4"/>
      <c r="H33" s="4"/>
      <c r="I33" s="4"/>
      <c r="J33" s="5">
        <v>1</v>
      </c>
      <c r="K33" s="5">
        <f>K29/E2</f>
        <v>0.27500000000000002</v>
      </c>
      <c r="O33" t="s">
        <v>33</v>
      </c>
      <c r="R33" t="s">
        <v>38</v>
      </c>
    </row>
    <row r="34" spans="1:21" x14ac:dyDescent="0.2">
      <c r="A34" s="12"/>
      <c r="B34" s="4"/>
      <c r="C34" s="4"/>
      <c r="D34" s="4"/>
      <c r="E34" s="4"/>
      <c r="F34" s="4"/>
      <c r="G34" s="4"/>
      <c r="H34" s="4"/>
      <c r="I34" s="4"/>
      <c r="J34" s="4"/>
      <c r="K34" s="4"/>
      <c r="O34" t="s">
        <v>32</v>
      </c>
      <c r="P34" t="s">
        <v>21</v>
      </c>
      <c r="Q34" t="s">
        <v>9</v>
      </c>
      <c r="R34" t="s">
        <v>32</v>
      </c>
      <c r="S34" t="s">
        <v>21</v>
      </c>
      <c r="T34" t="s">
        <v>10</v>
      </c>
    </row>
    <row r="35" spans="1:21" x14ac:dyDescent="0.2">
      <c r="A35" s="12"/>
      <c r="B35" s="4"/>
      <c r="C35" s="4"/>
      <c r="D35" s="5" t="s">
        <v>1</v>
      </c>
      <c r="E35" s="5" t="s">
        <v>9</v>
      </c>
      <c r="F35" s="4" t="s">
        <v>13</v>
      </c>
      <c r="G35" s="4"/>
      <c r="H35" s="4"/>
      <c r="I35" s="4"/>
      <c r="J35" s="4"/>
      <c r="K35" s="4"/>
      <c r="M35" s="13" t="s">
        <v>34</v>
      </c>
      <c r="N35" t="s">
        <v>36</v>
      </c>
      <c r="O35">
        <f>M20</f>
        <v>30</v>
      </c>
      <c r="P35">
        <f>N20</f>
        <v>3</v>
      </c>
      <c r="R35">
        <f>P20</f>
        <v>99.999999999999972</v>
      </c>
      <c r="S35">
        <f>Q20</f>
        <v>9.9999999999999982</v>
      </c>
      <c r="U35" s="13" t="s">
        <v>39</v>
      </c>
    </row>
    <row r="36" spans="1:21" x14ac:dyDescent="0.2">
      <c r="A36" s="12"/>
      <c r="B36" s="4"/>
      <c r="C36" s="4"/>
      <c r="D36" s="5">
        <v>0</v>
      </c>
      <c r="E36" s="7">
        <f>E28/E32</f>
        <v>0.29200000000000004</v>
      </c>
      <c r="F36" s="4"/>
      <c r="G36" s="4"/>
      <c r="H36" s="4"/>
      <c r="I36" s="4"/>
      <c r="J36" s="4"/>
      <c r="K36" s="4"/>
      <c r="M36" s="13"/>
      <c r="N36" t="s">
        <v>37</v>
      </c>
      <c r="O36">
        <f>M22</f>
        <v>720.00000000000011</v>
      </c>
      <c r="P36">
        <f>N22</f>
        <v>216.00000000000003</v>
      </c>
      <c r="R36">
        <f>P22</f>
        <v>400.00000000000006</v>
      </c>
      <c r="S36">
        <f>Q22</f>
        <v>120.00000000000001</v>
      </c>
      <c r="U36" s="13"/>
    </row>
    <row r="37" spans="1:21" x14ac:dyDescent="0.2">
      <c r="A37" s="12"/>
      <c r="B37" s="4"/>
      <c r="C37" s="4"/>
      <c r="D37" s="5">
        <v>1</v>
      </c>
      <c r="E37" s="7">
        <f>E29/E33</f>
        <v>0.28799999999999998</v>
      </c>
      <c r="F37" s="4"/>
      <c r="G37" s="4"/>
      <c r="H37" s="4"/>
      <c r="I37" s="4"/>
      <c r="J37" s="4"/>
      <c r="K37" s="4"/>
      <c r="M37" s="13"/>
      <c r="O37">
        <f>O35+O36</f>
        <v>750.00000000000011</v>
      </c>
      <c r="P37">
        <f>P35+P36</f>
        <v>219.00000000000003</v>
      </c>
      <c r="Q37">
        <f>P37/O37</f>
        <v>0.29199999999999998</v>
      </c>
      <c r="R37">
        <f>R35+R36</f>
        <v>500</v>
      </c>
      <c r="S37">
        <f>S35+S36</f>
        <v>130</v>
      </c>
      <c r="T37">
        <f>S37/R37</f>
        <v>0.26</v>
      </c>
      <c r="U37" s="13"/>
    </row>
    <row r="38" spans="1:21" x14ac:dyDescent="0.2">
      <c r="A38" s="12"/>
      <c r="B38" s="4"/>
      <c r="C38" s="4"/>
      <c r="D38" s="4"/>
      <c r="E38" s="4"/>
      <c r="F38" s="4"/>
      <c r="G38" s="4"/>
      <c r="H38" s="4"/>
      <c r="I38" s="4"/>
      <c r="J38" s="4"/>
      <c r="K38" s="4"/>
      <c r="M38" s="13" t="s">
        <v>35</v>
      </c>
      <c r="N38" t="s">
        <v>36</v>
      </c>
      <c r="O38">
        <f>M21</f>
        <v>169.99999999999994</v>
      </c>
      <c r="P38">
        <f>N21</f>
        <v>67.999999999999986</v>
      </c>
      <c r="R38">
        <f>P21</f>
        <v>99.999999999999972</v>
      </c>
      <c r="S38">
        <f>Q21</f>
        <v>39.999999999999993</v>
      </c>
      <c r="U38" s="13" t="s">
        <v>40</v>
      </c>
    </row>
    <row r="39" spans="1:21" x14ac:dyDescent="0.2">
      <c r="A39" s="12"/>
      <c r="B39" s="4"/>
      <c r="C39" s="4"/>
      <c r="D39" s="5" t="s">
        <v>1</v>
      </c>
      <c r="E39" s="5" t="s">
        <v>10</v>
      </c>
      <c r="F39" s="4" t="s">
        <v>14</v>
      </c>
      <c r="G39" s="4"/>
      <c r="H39" s="4"/>
      <c r="I39" s="4"/>
      <c r="J39" s="4"/>
      <c r="K39" s="4"/>
      <c r="M39" s="13"/>
      <c r="N39" t="s">
        <v>37</v>
      </c>
      <c r="O39">
        <f>M23</f>
        <v>80.000000000000014</v>
      </c>
      <c r="P39">
        <f>N23</f>
        <v>4.0000000000000009</v>
      </c>
      <c r="R39">
        <f>P23</f>
        <v>400.00000000000006</v>
      </c>
      <c r="S39">
        <f>Q23</f>
        <v>20.000000000000004</v>
      </c>
      <c r="U39" s="13"/>
    </row>
    <row r="40" spans="1:21" x14ac:dyDescent="0.2">
      <c r="A40" s="12"/>
      <c r="B40" s="4"/>
      <c r="C40" s="4"/>
      <c r="D40" s="5">
        <v>0</v>
      </c>
      <c r="E40" s="7">
        <f>E9*(1-E2)+E11*E2</f>
        <v>0.26</v>
      </c>
      <c r="F40" s="4"/>
      <c r="G40" s="4"/>
      <c r="H40" s="4"/>
      <c r="I40" s="4"/>
      <c r="J40" s="4"/>
      <c r="K40" s="4"/>
      <c r="M40" s="13"/>
      <c r="O40">
        <f>O38+O39</f>
        <v>249.99999999999994</v>
      </c>
      <c r="P40">
        <f>P38+P39</f>
        <v>71.999999999999986</v>
      </c>
      <c r="Q40">
        <f>P40/O40</f>
        <v>0.28800000000000003</v>
      </c>
      <c r="R40">
        <f>R38+R39</f>
        <v>500</v>
      </c>
      <c r="S40">
        <f>S38+S39</f>
        <v>60</v>
      </c>
      <c r="T40">
        <f>S40/R40</f>
        <v>0.12</v>
      </c>
      <c r="U40" s="13"/>
    </row>
    <row r="41" spans="1:21" x14ac:dyDescent="0.2">
      <c r="A41" s="12"/>
      <c r="B41" s="4"/>
      <c r="C41" s="4"/>
      <c r="D41" s="5">
        <v>1</v>
      </c>
      <c r="E41" s="7">
        <f>E10*(1-E2)+E12*E2</f>
        <v>0.12</v>
      </c>
      <c r="F41" s="4"/>
      <c r="G41" s="4"/>
      <c r="H41" s="4"/>
      <c r="I41" s="4"/>
      <c r="J41" s="4"/>
      <c r="K41" s="4"/>
    </row>
  </sheetData>
  <mergeCells count="6">
    <mergeCell ref="U35:U37"/>
    <mergeCell ref="U38:U40"/>
    <mergeCell ref="A1:A12"/>
    <mergeCell ref="A14:A41"/>
    <mergeCell ref="M35:M37"/>
    <mergeCell ref="M38:M4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2079F-A6E6-B94E-BFCD-CCBFC2060976}">
  <dimension ref="A6:E17"/>
  <sheetViews>
    <sheetView tabSelected="1" workbookViewId="0">
      <selection activeCell="C14" sqref="C14"/>
    </sheetView>
  </sheetViews>
  <sheetFormatPr baseColWidth="10" defaultRowHeight="16" x14ac:dyDescent="0.2"/>
  <sheetData>
    <row r="6" spans="1:5" x14ac:dyDescent="0.2">
      <c r="A6" t="s">
        <v>0</v>
      </c>
      <c r="B6" t="s">
        <v>1</v>
      </c>
      <c r="C6" t="s">
        <v>41</v>
      </c>
      <c r="D6" t="s">
        <v>42</v>
      </c>
      <c r="E6" t="s">
        <v>43</v>
      </c>
    </row>
    <row r="7" spans="1:5" x14ac:dyDescent="0.2">
      <c r="A7">
        <v>0</v>
      </c>
      <c r="B7">
        <v>0</v>
      </c>
      <c r="C7">
        <v>0.03</v>
      </c>
      <c r="D7">
        <v>0.1</v>
      </c>
      <c r="E7">
        <f>C7*D7</f>
        <v>3.0000000000000001E-3</v>
      </c>
    </row>
    <row r="8" spans="1:5" x14ac:dyDescent="0.2">
      <c r="A8">
        <v>1</v>
      </c>
      <c r="B8">
        <v>0</v>
      </c>
      <c r="C8">
        <v>0.72000000000000008</v>
      </c>
      <c r="D8">
        <v>0.3</v>
      </c>
      <c r="E8">
        <f t="shared" ref="E8:E10" si="0">C8*D8</f>
        <v>0.21600000000000003</v>
      </c>
    </row>
    <row r="9" spans="1:5" x14ac:dyDescent="0.2">
      <c r="A9">
        <v>0</v>
      </c>
      <c r="B9">
        <v>1</v>
      </c>
      <c r="C9">
        <v>0.16999999999999996</v>
      </c>
      <c r="D9">
        <v>0.4</v>
      </c>
      <c r="E9">
        <f>C9*D9</f>
        <v>6.7999999999999991E-2</v>
      </c>
    </row>
    <row r="10" spans="1:5" x14ac:dyDescent="0.2">
      <c r="A10">
        <v>1</v>
      </c>
      <c r="B10">
        <v>1</v>
      </c>
      <c r="C10">
        <v>8.0000000000000016E-2</v>
      </c>
      <c r="D10">
        <v>0.05</v>
      </c>
      <c r="E10">
        <f t="shared" si="0"/>
        <v>4.000000000000001E-3</v>
      </c>
    </row>
    <row r="13" spans="1:5" x14ac:dyDescent="0.2">
      <c r="A13" t="s">
        <v>0</v>
      </c>
      <c r="B13" t="s">
        <v>1</v>
      </c>
      <c r="C13" t="s">
        <v>41</v>
      </c>
      <c r="D13" t="s">
        <v>42</v>
      </c>
      <c r="E13" t="s">
        <v>43</v>
      </c>
    </row>
    <row r="14" spans="1:5" x14ac:dyDescent="0.2">
      <c r="A14">
        <v>0</v>
      </c>
      <c r="B14">
        <v>0</v>
      </c>
      <c r="C14">
        <v>0.1</v>
      </c>
      <c r="D14">
        <v>0.1</v>
      </c>
      <c r="E14">
        <f>C14*D14</f>
        <v>1.0000000000000002E-2</v>
      </c>
    </row>
    <row r="15" spans="1:5" x14ac:dyDescent="0.2">
      <c r="A15">
        <v>1</v>
      </c>
      <c r="B15">
        <v>0</v>
      </c>
      <c r="C15">
        <v>0.4</v>
      </c>
      <c r="D15">
        <v>0.3</v>
      </c>
      <c r="E15">
        <f t="shared" ref="E15" si="1">C15*D15</f>
        <v>0.12</v>
      </c>
    </row>
    <row r="16" spans="1:5" x14ac:dyDescent="0.2">
      <c r="A16">
        <v>0</v>
      </c>
      <c r="B16">
        <v>1</v>
      </c>
      <c r="C16">
        <v>0.1</v>
      </c>
      <c r="D16">
        <v>0.4</v>
      </c>
      <c r="E16">
        <f>C16*D16</f>
        <v>4.0000000000000008E-2</v>
      </c>
    </row>
    <row r="17" spans="1:5" x14ac:dyDescent="0.2">
      <c r="A17">
        <v>1</v>
      </c>
      <c r="B17">
        <v>1</v>
      </c>
      <c r="C17">
        <v>0.4</v>
      </c>
      <c r="D17">
        <v>0.05</v>
      </c>
      <c r="E17">
        <f t="shared" ref="E17" si="2">C17*D17</f>
        <v>2.0000000000000004E-2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SACHARIDIS  Dimitris</dc:creator>
  <cp:lastModifiedBy>SACHARIDIS  Dimitris</cp:lastModifiedBy>
  <dcterms:created xsi:type="dcterms:W3CDTF">2022-05-24T20:18:42Z</dcterms:created>
  <dcterms:modified xsi:type="dcterms:W3CDTF">2022-06-09T08:02:02Z</dcterms:modified>
</cp:coreProperties>
</file>